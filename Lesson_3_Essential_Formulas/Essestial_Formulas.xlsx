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 Cource\Excel\"/>
    </mc:Choice>
  </mc:AlternateContent>
  <xr:revisionPtr revIDLastSave="0" documentId="13_ncr:1_{164179DE-4457-47AB-984E-2379BE2C1978}" xr6:coauthVersionLast="47" xr6:coauthVersionMax="47" xr10:uidLastSave="{00000000-0000-0000-0000-000000000000}"/>
  <bookViews>
    <workbookView xWindow="-110" yWindow="-110" windowWidth="19420" windowHeight="10300" xr2:uid="{E83AD1D0-C7DB-49AB-8714-F76C6222D4A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" i="1" l="1"/>
  <c r="K5" i="1"/>
  <c r="K6" i="1"/>
  <c r="K7" i="1"/>
  <c r="K8" i="1"/>
  <c r="K9" i="1"/>
  <c r="K10" i="1"/>
  <c r="K11" i="1"/>
  <c r="K12" i="1"/>
  <c r="K3" i="1"/>
  <c r="J4" i="1"/>
  <c r="J5" i="1"/>
  <c r="J6" i="1"/>
  <c r="J7" i="1"/>
  <c r="J8" i="1"/>
  <c r="J9" i="1"/>
  <c r="J10" i="1"/>
  <c r="J11" i="1"/>
  <c r="J12" i="1"/>
  <c r="J3" i="1"/>
  <c r="I4" i="1"/>
  <c r="I5" i="1"/>
  <c r="I6" i="1"/>
  <c r="I7" i="1"/>
  <c r="I8" i="1"/>
  <c r="I9" i="1"/>
  <c r="I10" i="1"/>
  <c r="I11" i="1"/>
  <c r="I12" i="1"/>
  <c r="I3" i="1"/>
  <c r="F3" i="1"/>
  <c r="H4" i="1"/>
  <c r="H5" i="1"/>
  <c r="H6" i="1"/>
  <c r="H7" i="1"/>
  <c r="H8" i="1"/>
  <c r="H9" i="1"/>
  <c r="H10" i="1"/>
  <c r="H11" i="1"/>
  <c r="H12" i="1"/>
  <c r="H3" i="1"/>
  <c r="G4" i="1"/>
  <c r="G5" i="1"/>
  <c r="G6" i="1"/>
  <c r="G7" i="1"/>
  <c r="G8" i="1"/>
  <c r="G9" i="1"/>
  <c r="G10" i="1"/>
  <c r="G11" i="1"/>
  <c r="G12" i="1"/>
  <c r="G3" i="1"/>
  <c r="F12" i="1"/>
  <c r="F10" i="1"/>
  <c r="F11" i="1"/>
  <c r="F9" i="1"/>
  <c r="F4" i="1"/>
  <c r="F5" i="1"/>
  <c r="F6" i="1"/>
  <c r="F7" i="1"/>
  <c r="F8" i="1"/>
</calcChain>
</file>

<file path=xl/sharedStrings.xml><?xml version="1.0" encoding="utf-8"?>
<sst xmlns="http://schemas.openxmlformats.org/spreadsheetml/2006/main" count="21" uniqueCount="21">
  <si>
    <t>Sr.No</t>
  </si>
  <si>
    <t>Name Of Student</t>
  </si>
  <si>
    <t>Sub1</t>
  </si>
  <si>
    <t>Sub2</t>
  </si>
  <si>
    <t>Sub3</t>
  </si>
  <si>
    <t>Total</t>
  </si>
  <si>
    <t>Aarav Sharma</t>
  </si>
  <si>
    <t>Priya Patel</t>
  </si>
  <si>
    <t>Rahul Verma</t>
  </si>
  <si>
    <t>Sneha Joshi</t>
  </si>
  <si>
    <t>Karan Singh</t>
  </si>
  <si>
    <t>Anjali Mehta</t>
  </si>
  <si>
    <t>Rohan Gupta</t>
  </si>
  <si>
    <t>Neha Kulkarni</t>
  </si>
  <si>
    <t>Vivek Kumar</t>
  </si>
  <si>
    <t>Pooja Desai</t>
  </si>
  <si>
    <t>Max</t>
  </si>
  <si>
    <t>Min</t>
  </si>
  <si>
    <t>Average</t>
  </si>
  <si>
    <t>Percentage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</si>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</sst>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B822C-9F10-48D6-8F50-4B9CC9AB7C7F}">
  <dimension ref="A2:K22"/>
  <sheetViews>
    <sheetView tabSelected="1" zoomScale="150" zoomScaleNormal="150" workbookViewId="0">
      <selection activeCell="L9" sqref="L9"/>
    </sheetView>
  </sheetViews>
  <sheetFormatPr defaultRowHeight="14.5" x14ac:dyDescent="0.35"/>
  <cols>
    <col min="1" max="1" width="7.08984375" customWidth="1"/>
    <col min="2" max="2" width="17.453125" customWidth="1"/>
    <col min="3" max="3" width="8.08984375" customWidth="1"/>
    <col min="4" max="4" width="8.54296875" customWidth="1"/>
    <col min="10" max="10" width="10.26953125" bestFit="1" customWidth="1"/>
  </cols>
  <sheetData>
    <row r="2" spans="1:11" x14ac:dyDescent="0.3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</row>
    <row r="3" spans="1:11" x14ac:dyDescent="0.35">
      <c r="A3" s="2">
        <v>1</v>
      </c>
      <c r="B3" s="1" t="s">
        <v>6</v>
      </c>
      <c r="C3" s="2">
        <v>110</v>
      </c>
      <c r="D3" s="2">
        <v>82</v>
      </c>
      <c r="E3" s="2">
        <v>75</v>
      </c>
      <c r="F3" s="2">
        <f t="shared" ref="F3:F8" si="0">C3+D3+E3</f>
        <v>267</v>
      </c>
      <c r="G3" s="4">
        <f>MAX(C3:E3)</f>
        <v>110</v>
      </c>
      <c r="H3" s="4">
        <f>MIN(C3:E3)</f>
        <v>75</v>
      </c>
      <c r="I3" s="5">
        <f>AVERAGE(C3:E3)</f>
        <v>89</v>
      </c>
      <c r="J3" s="5">
        <f>F3/350*100</f>
        <v>76.285714285714292</v>
      </c>
      <c r="K3" s="4" t="str">
        <f>IF(F3&gt;=250,"Pass","Fail")</f>
        <v>Pass</v>
      </c>
    </row>
    <row r="4" spans="1:11" x14ac:dyDescent="0.35">
      <c r="A4" s="2">
        <v>2</v>
      </c>
      <c r="B4" s="1" t="s">
        <v>7</v>
      </c>
      <c r="C4" s="2">
        <v>85</v>
      </c>
      <c r="D4" s="2">
        <v>79</v>
      </c>
      <c r="E4" s="2">
        <v>88</v>
      </c>
      <c r="F4" s="2">
        <f t="shared" si="0"/>
        <v>252</v>
      </c>
      <c r="G4" s="4">
        <f t="shared" ref="G4:G12" si="1">MAX(C4:E4)</f>
        <v>88</v>
      </c>
      <c r="H4" s="4">
        <f t="shared" ref="H4:H12" si="2">MIN(C4:E4)</f>
        <v>79</v>
      </c>
      <c r="I4" s="5">
        <f t="shared" ref="I4:I12" si="3">AVERAGE(C4:E4)</f>
        <v>84</v>
      </c>
      <c r="J4" s="5">
        <f t="shared" ref="J4:J12" si="4">F4/350*100</f>
        <v>72</v>
      </c>
      <c r="K4" s="4" t="str">
        <f t="shared" ref="K4:K12" si="5">IF(F4&gt;=250,"Pass","Fail")</f>
        <v>Pass</v>
      </c>
    </row>
    <row r="5" spans="1:11" x14ac:dyDescent="0.35">
      <c r="A5" s="2">
        <v>3</v>
      </c>
      <c r="B5" s="1" t="s">
        <v>8</v>
      </c>
      <c r="C5" s="2">
        <v>67</v>
      </c>
      <c r="D5" s="2">
        <v>72</v>
      </c>
      <c r="E5" s="2">
        <v>70</v>
      </c>
      <c r="F5" s="2">
        <f t="shared" si="0"/>
        <v>209</v>
      </c>
      <c r="G5" s="4">
        <f t="shared" si="1"/>
        <v>72</v>
      </c>
      <c r="H5" s="4">
        <f t="shared" si="2"/>
        <v>67</v>
      </c>
      <c r="I5" s="5">
        <f t="shared" si="3"/>
        <v>69.666666666666671</v>
      </c>
      <c r="J5" s="5">
        <f t="shared" si="4"/>
        <v>59.714285714285722</v>
      </c>
      <c r="K5" s="4" t="str">
        <f t="shared" si="5"/>
        <v>Fail</v>
      </c>
    </row>
    <row r="6" spans="1:11" x14ac:dyDescent="0.35">
      <c r="A6" s="2">
        <v>4</v>
      </c>
      <c r="B6" s="1" t="s">
        <v>9</v>
      </c>
      <c r="C6" s="2">
        <v>111</v>
      </c>
      <c r="D6" s="2">
        <v>89</v>
      </c>
      <c r="E6" s="2">
        <v>94</v>
      </c>
      <c r="F6" s="2">
        <f t="shared" si="0"/>
        <v>294</v>
      </c>
      <c r="G6" s="4">
        <f t="shared" si="1"/>
        <v>111</v>
      </c>
      <c r="H6" s="4">
        <f t="shared" si="2"/>
        <v>89</v>
      </c>
      <c r="I6" s="5">
        <f t="shared" si="3"/>
        <v>98</v>
      </c>
      <c r="J6" s="5">
        <f t="shared" si="4"/>
        <v>84</v>
      </c>
      <c r="K6" s="4" t="str">
        <f t="shared" si="5"/>
        <v>Pass</v>
      </c>
    </row>
    <row r="7" spans="1:11" x14ac:dyDescent="0.35">
      <c r="A7" s="2">
        <v>5</v>
      </c>
      <c r="B7" s="1" t="s">
        <v>10</v>
      </c>
      <c r="C7" s="2">
        <v>73</v>
      </c>
      <c r="D7" s="2">
        <v>68</v>
      </c>
      <c r="E7" s="2">
        <v>77</v>
      </c>
      <c r="F7" s="2">
        <f t="shared" si="0"/>
        <v>218</v>
      </c>
      <c r="G7" s="4">
        <f t="shared" si="1"/>
        <v>77</v>
      </c>
      <c r="H7" s="4">
        <f t="shared" si="2"/>
        <v>68</v>
      </c>
      <c r="I7" s="5">
        <f t="shared" si="3"/>
        <v>72.666666666666671</v>
      </c>
      <c r="J7" s="5">
        <f t="shared" si="4"/>
        <v>62.285714285714292</v>
      </c>
      <c r="K7" s="4" t="str">
        <f t="shared" si="5"/>
        <v>Fail</v>
      </c>
    </row>
    <row r="8" spans="1:11" x14ac:dyDescent="0.35">
      <c r="A8" s="2">
        <v>6</v>
      </c>
      <c r="B8" s="1" t="s">
        <v>11</v>
      </c>
      <c r="C8" s="2">
        <v>80</v>
      </c>
      <c r="D8" s="2">
        <v>84</v>
      </c>
      <c r="E8" s="2">
        <v>81</v>
      </c>
      <c r="F8" s="2">
        <f t="shared" si="0"/>
        <v>245</v>
      </c>
      <c r="G8" s="4">
        <f t="shared" si="1"/>
        <v>84</v>
      </c>
      <c r="H8" s="4">
        <f t="shared" si="2"/>
        <v>80</v>
      </c>
      <c r="I8" s="5">
        <f t="shared" si="3"/>
        <v>81.666666666666671</v>
      </c>
      <c r="J8" s="5">
        <f t="shared" si="4"/>
        <v>70</v>
      </c>
      <c r="K8" s="4" t="str">
        <f t="shared" si="5"/>
        <v>Fail</v>
      </c>
    </row>
    <row r="9" spans="1:11" x14ac:dyDescent="0.35">
      <c r="A9" s="2">
        <v>7</v>
      </c>
      <c r="B9" s="1" t="s">
        <v>12</v>
      </c>
      <c r="C9" s="2">
        <v>119</v>
      </c>
      <c r="D9" s="2">
        <v>74</v>
      </c>
      <c r="E9" s="2">
        <v>71</v>
      </c>
      <c r="F9" s="2">
        <f>SUM(C9:E9)</f>
        <v>264</v>
      </c>
      <c r="G9" s="4">
        <f t="shared" si="1"/>
        <v>119</v>
      </c>
      <c r="H9" s="4">
        <f t="shared" si="2"/>
        <v>71</v>
      </c>
      <c r="I9" s="5">
        <f t="shared" si="3"/>
        <v>88</v>
      </c>
      <c r="J9" s="5">
        <f t="shared" si="4"/>
        <v>75.428571428571431</v>
      </c>
      <c r="K9" s="4" t="str">
        <f t="shared" si="5"/>
        <v>Pass</v>
      </c>
    </row>
    <row r="10" spans="1:11" x14ac:dyDescent="0.35">
      <c r="A10" s="2">
        <v>8</v>
      </c>
      <c r="B10" s="1" t="s">
        <v>13</v>
      </c>
      <c r="C10" s="2">
        <v>88</v>
      </c>
      <c r="D10" s="2">
        <v>90</v>
      </c>
      <c r="E10" s="2">
        <v>86</v>
      </c>
      <c r="F10" s="2">
        <f>SUM(C10:E10)</f>
        <v>264</v>
      </c>
      <c r="G10" s="4">
        <f t="shared" si="1"/>
        <v>90</v>
      </c>
      <c r="H10" s="4">
        <f t="shared" si="2"/>
        <v>86</v>
      </c>
      <c r="I10" s="5">
        <f t="shared" si="3"/>
        <v>88</v>
      </c>
      <c r="J10" s="5">
        <f t="shared" si="4"/>
        <v>75.428571428571431</v>
      </c>
      <c r="K10" s="4" t="str">
        <f t="shared" si="5"/>
        <v>Pass</v>
      </c>
    </row>
    <row r="11" spans="1:11" x14ac:dyDescent="0.35">
      <c r="A11" s="2">
        <v>9</v>
      </c>
      <c r="B11" s="1" t="s">
        <v>14</v>
      </c>
      <c r="C11" s="2">
        <v>116</v>
      </c>
      <c r="D11" s="2">
        <v>79</v>
      </c>
      <c r="E11" s="2">
        <v>74</v>
      </c>
      <c r="F11" s="2">
        <f>SUM(C11:E11)</f>
        <v>269</v>
      </c>
      <c r="G11" s="4">
        <f t="shared" si="1"/>
        <v>116</v>
      </c>
      <c r="H11" s="4">
        <f t="shared" si="2"/>
        <v>74</v>
      </c>
      <c r="I11" s="5">
        <f t="shared" si="3"/>
        <v>89.666666666666671</v>
      </c>
      <c r="J11" s="5">
        <f t="shared" si="4"/>
        <v>76.857142857142861</v>
      </c>
      <c r="K11" s="4" t="str">
        <f t="shared" si="5"/>
        <v>Pass</v>
      </c>
    </row>
    <row r="12" spans="1:11" x14ac:dyDescent="0.35">
      <c r="A12" s="2">
        <v>10</v>
      </c>
      <c r="B12" s="1" t="s">
        <v>15</v>
      </c>
      <c r="C12" s="2">
        <v>83</v>
      </c>
      <c r="D12" s="2">
        <v>87</v>
      </c>
      <c r="E12" s="2">
        <v>85</v>
      </c>
      <c r="F12" s="2">
        <f>SUM(C12:E12)</f>
        <v>255</v>
      </c>
      <c r="G12" s="4">
        <f t="shared" si="1"/>
        <v>87</v>
      </c>
      <c r="H12" s="4">
        <f t="shared" si="2"/>
        <v>83</v>
      </c>
      <c r="I12" s="5">
        <f t="shared" si="3"/>
        <v>85</v>
      </c>
      <c r="J12" s="5">
        <f t="shared" si="4"/>
        <v>72.857142857142847</v>
      </c>
      <c r="K12" s="4" t="str">
        <f t="shared" si="5"/>
        <v>Pass</v>
      </c>
    </row>
    <row r="22" spans="1:1" x14ac:dyDescent="0.35">
      <c r="A22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Sanika Shinde</cp:lastModifiedBy>
  <dcterms:created xsi:type="dcterms:W3CDTF">2026-05-29T12:56:56Z</dcterms:created>
  <dcterms:modified xsi:type="dcterms:W3CDTF">2026-09-27T05:44:36Z</dcterms:modified>
</cp:coreProperties>
</file>